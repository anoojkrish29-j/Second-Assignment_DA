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 ANALYTIC CLASS\assignment 2\"/>
    </mc:Choice>
  </mc:AlternateContent>
  <xr:revisionPtr revIDLastSave="0" documentId="13_ncr:1_{53E8EFE1-715B-4769-8DDB-902B86AF484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" sheetId="4" r:id="rId3"/>
  </sheets>
  <definedNames>
    <definedName name="_xlnm._FilterDatabase" localSheetId="2" hidden="1">Solution!$K$1:$L$35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G2" i="4" l="1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" i="4"/>
  <c r="G4" i="4"/>
  <c r="G5" i="4"/>
  <c r="G6" i="4"/>
  <c r="K22" i="4"/>
  <c r="K23" i="4"/>
  <c r="K24" i="4"/>
  <c r="K25" i="4"/>
  <c r="K26" i="4"/>
  <c r="K27" i="4"/>
  <c r="K28" i="4"/>
  <c r="K29" i="4"/>
  <c r="K30" i="4"/>
  <c r="K31" i="4"/>
  <c r="K32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5" i="4"/>
  <c r="K6" i="4"/>
  <c r="K7" i="4"/>
  <c r="K3" i="4"/>
  <c r="K4" i="4"/>
  <c r="K2" i="4"/>
  <c r="L7" i="4"/>
  <c r="L2" i="4" l="1"/>
  <c r="L3" i="4"/>
  <c r="L4" i="4"/>
  <c r="L5" i="4"/>
  <c r="L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I2" i="4" a="1"/>
  <c r="I2" i="4" l="1"/>
  <c r="J2" i="4" s="1"/>
  <c r="J3" i="4"/>
  <c r="J4" i="4"/>
  <c r="J16" i="4"/>
  <c r="J28" i="4"/>
  <c r="J5" i="4"/>
  <c r="J17" i="4"/>
  <c r="J29" i="4"/>
  <c r="J8" i="4"/>
  <c r="J32" i="4"/>
  <c r="J21" i="4"/>
  <c r="J10" i="4"/>
  <c r="J22" i="4"/>
  <c r="J23" i="4"/>
  <c r="J24" i="4"/>
  <c r="J13" i="4"/>
  <c r="J15" i="4"/>
  <c r="J6" i="4"/>
  <c r="J18" i="4"/>
  <c r="J30" i="4"/>
  <c r="J7" i="4"/>
  <c r="J19" i="4"/>
  <c r="J31" i="4"/>
  <c r="J20" i="4"/>
  <c r="J9" i="4"/>
  <c r="J11" i="4"/>
  <c r="J12" i="4"/>
  <c r="J25" i="4"/>
  <c r="J14" i="4"/>
  <c r="J27" i="4"/>
  <c r="J2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<sst xmlns="http://schemas.openxmlformats.org/spreadsheetml/2006/main" count="326" uniqueCount="137">
  <si>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</si>
  <si>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</si>
  <si>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</si>
  <si>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</si>
  <si>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</si>
  <si>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</si>
  <si>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</si>
  <si>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</si>
  <si>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</si>
  <si>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</si>
  <si>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</si>
  <si>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</si>
  <si>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</si>
  <si>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</si>
  <si>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</si>
  <si>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</si>
  <si>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</si>
  <si>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</si>
  <si>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</si>
  <si>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</si>
  <si>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</si>
  <si>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</si>
  <si>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</si>
  <si>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</si>
  <si>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</si>
  <si>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laptop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</si>
  <si>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</si>
  <si>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</si>
  <si>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</si>
  <si>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</si>
  <si>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</si>
  <si>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</si>
  <si>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</si>
  <si>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</si>
  <si>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smartphone</t>
  </si>
  <si>
    <t>Samsung</t>
  </si>
  <si>
    <t>Backpack</t>
  </si>
  <si>
    <t>North Face</t>
  </si>
  <si>
    <t>Headphones</t>
  </si>
  <si>
    <t>Sony</t>
  </si>
  <si>
    <t>Electroni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</si>
  <si>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</si>
  <si>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</si>
  <si>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</si>
  <si>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</si>
  <si>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</si>
  <si>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</si>
  <si>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</si>
  <si>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</si>
  <si>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</si>
  <si>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</si>
  <si>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</si>
  <si>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</si>
  <si>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</si>
  <si>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</si>
  <si>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headphones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</si>
  <si>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</si>
  <si>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</si>
  <si>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</si>
  <si>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</si>
  <si>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</si>
  <si>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</si>
  <si>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</si>
  <si>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</si>
  <si>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</si>
  <si>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</si>
  <si>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</si>
  <si>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</si>
  <si>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</si>
  <si>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</si>
  <si>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</si>
  <si>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</si>
  <si>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</si>
  <si>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</si>
  <si>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</si>
  <si>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</si>
  <si>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</si>
  <si>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</si>
  <si>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</si>
  <si>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</si>
  <si>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</si>
  <si>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</si>
  <si>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</si>
  <si>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</si>
  <si>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</si>
  <si>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28-JAN-2000-US</t>
  </si>
  <si>
    <t>15-FEB-2000-US</t>
  </si>
  <si>
    <t>03-MAR-2000-US</t>
  </si>
  <si>
    <t>11-APR-2000-US</t>
  </si>
  <si>
    <t>22-MAY-2000-US</t>
  </si>
  <si>
    <t>07-JUN-2000-UK</t>
  </si>
  <si>
    <t>19-JUL-2000-UK</t>
  </si>
  <si>
    <t>23-AUG-2000-UK</t>
  </si>
  <si>
    <t>05-SEP-2000-UK</t>
  </si>
  <si>
    <t>14-OCT-2000-UK</t>
  </si>
  <si>
    <t>17-JUN-2000-IN</t>
  </si>
  <si>
    <t>25-NOV-2000-AU</t>
  </si>
  <si>
    <t>08-DEC-2000-DE</t>
  </si>
  <si>
    <t>18-FEB-2000-CA</t>
  </si>
  <si>
    <t>16-APR-2000-ES</t>
  </si>
  <si>
    <t>21-AUG-2000-CA</t>
  </si>
  <si>
    <t>20-AUG-2000-CN</t>
  </si>
  <si>
    <t>27-JAN-2000-IT</t>
  </si>
  <si>
    <t>01-MAR-2000-UK</t>
  </si>
  <si>
    <t>14-AUG-2000-US</t>
  </si>
  <si>
    <t>14-MAY-2000-RU</t>
  </si>
  <si>
    <t>09-JAN-2000-CA</t>
  </si>
  <si>
    <t>19-JUL-2000-BR</t>
  </si>
  <si>
    <t>29-SEP-2000-CA</t>
  </si>
  <si>
    <t>03-JUN-2000-CA</t>
  </si>
  <si>
    <t>11-JUL-2000-CA</t>
  </si>
  <si>
    <t>07-MAR-2000-CA</t>
  </si>
  <si>
    <t>13-APR-2000-CA</t>
  </si>
  <si>
    <t>24-MAY-2000-CA</t>
  </si>
  <si>
    <t>02-DEC-2000-CA</t>
  </si>
  <si>
    <t>09-JUL-2000-FR</t>
  </si>
  <si>
    <t>Find the median price and gave the value.</t>
  </si>
  <si>
    <t>Replaced missing places with Unknown</t>
  </si>
  <si>
    <t>corrected using proper()</t>
  </si>
  <si>
    <t>Find and replaced typos</t>
  </si>
  <si>
    <t xml:space="preserve">identified duplicates and removed </t>
  </si>
  <si>
    <t>product brand</t>
  </si>
  <si>
    <t>merged both with concatenate ()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</si>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</sst>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rgb="FF4DD0E1"/>
      </patternFill>
    </fill>
    <fill>
      <patternFill patternType="solid">
        <fgColor theme="6" tint="0.39997558519241921"/>
        <bgColor rgb="FFE0F7FA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5" fillId="0" borderId="1" xfId="0" applyFont="1" applyBorder="1"/>
    <xf numFmtId="0" fontId="5" fillId="0" borderId="6" xfId="0" applyFont="1" applyBorder="1"/>
    <xf numFmtId="0" fontId="5" fillId="3" borderId="1" xfId="0" applyFont="1" applyFill="1" applyBorder="1"/>
    <xf numFmtId="0" fontId="5" fillId="3" borderId="6" xfId="0" applyFont="1" applyFill="1" applyBorder="1"/>
    <xf numFmtId="0" fontId="0" fillId="0" borderId="5" xfId="0" applyBorder="1"/>
    <xf numFmtId="0" fontId="0" fillId="5" borderId="0" xfId="0" applyFill="1"/>
    <xf numFmtId="164" fontId="0" fillId="0" borderId="0" xfId="0" applyNumberFormat="1"/>
    <xf numFmtId="164" fontId="5" fillId="4" borderId="0" xfId="0" applyNumberFormat="1" applyFont="1" applyFill="1"/>
    <xf numFmtId="0" fontId="7" fillId="6" borderId="3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64" fontId="7" fillId="6" borderId="1" xfId="0" applyNumberFormat="1" applyFont="1" applyFill="1" applyBorder="1" applyAlignment="1">
      <alignment horizontal="center"/>
    </xf>
    <xf numFmtId="14" fontId="5" fillId="7" borderId="1" xfId="0" applyNumberFormat="1" applyFont="1" applyFill="1" applyBorder="1"/>
    <xf numFmtId="0" fontId="5" fillId="7" borderId="1" xfId="0" applyFont="1" applyFill="1" applyBorder="1"/>
    <xf numFmtId="0" fontId="0" fillId="8" borderId="1" xfId="0" applyFill="1" applyBorder="1"/>
    <xf numFmtId="164" fontId="5" fillId="7" borderId="1" xfId="0" applyNumberFormat="1" applyFont="1" applyFill="1" applyBorder="1"/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5EE93-147A-4BE3-8D35-9192DEE7169B}" name="Table2" displayName="Table2" ref="A1:H32" totalsRowShown="0" headerRowDxfId="13" dataDxfId="11" headerRowBorderDxfId="12" tableBorderDxfId="10" totalsRowBorderDxfId="9">
  <autoFilter ref="A1:H32" xr:uid="{C9E5EE93-147A-4BE3-8D35-9192DEE7169B}"/>
  <tableColumns count="8">
    <tableColumn id="1" xr3:uid="{216588DF-0D7E-42AF-AB7B-3ADEE18E1F5A}" name="Product ID" dataDxfId="8"/>
    <tableColumn id="2" xr3:uid="{DB749BBE-023F-4CF8-813F-F22F3769C0EB}" name="Product Name" dataDxfId="7"/>
    <tableColumn id="3" xr3:uid="{36693C2D-BE41-4F5A-80E4-5A1F08F677B6}" name="Brand Name" dataDxfId="6"/>
    <tableColumn id="4" xr3:uid="{7CEE00CE-5151-441A-BABB-0635B74EAB6A}" name="Price ($)" dataDxfId="5"/>
    <tableColumn id="5" xr3:uid="{2E83B742-5DC9-429C-8227-F8443E2CB46C}" name="Quantity" dataDxfId="4"/>
    <tableColumn id="6" xr3:uid="{ED8742D2-28A4-436C-82BA-3C2F9DA04DEB}" name="Category" dataDxfId="3"/>
    <tableColumn id="7" xr3:uid="{D5D21E7F-2B9C-4B67-B17D-13F048E28F0A}" name="Manufacturing Date" dataDxfId="2">
      <calculatedColumnFormula>DATE(2000,MONTH(MID(A2,4,3)&amp;"1"),LEFT(A2,2))</calculatedColumnFormula>
    </tableColumn>
    <tableColumn id="10" xr3:uid="{735D3DDE-3A36-4043-BEB5-205E8B6190DC}" name="Country Cod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showGridLines="0" topLeftCell="A9" workbookViewId="0">
      <selection activeCell="I20" sqref="I20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2" ht="15.75" customHeight="1" x14ac:dyDescent="0.25">
      <c r="A1" s="1" t="s">
        <v>0</v>
      </c>
    </row>
    <row r="2" spans="1:12" ht="15.75" customHeight="1" x14ac:dyDescent="0.25"/>
    <row r="3" spans="1:12" ht="15.75" customHeight="1" x14ac:dyDescent="0.3">
      <c r="B3" s="2" t="s">
        <v>1</v>
      </c>
    </row>
    <row r="4" spans="1:12" ht="15.75" customHeight="1" x14ac:dyDescent="0.3">
      <c r="C4" s="3" t="s">
        <v>2</v>
      </c>
      <c r="K4" t="s">
        <v>116</v>
      </c>
    </row>
    <row r="5" spans="1:12" ht="15.75" customHeight="1" x14ac:dyDescent="0.3">
      <c r="B5" s="4"/>
      <c r="C5" s="3" t="s">
        <v>3</v>
      </c>
      <c r="L5" t="s">
        <v>117</v>
      </c>
    </row>
    <row r="6" spans="1:12" ht="15.75" customHeight="1" x14ac:dyDescent="0.3">
      <c r="B6" s="4"/>
    </row>
    <row r="7" spans="1:12" ht="15.75" customHeight="1" x14ac:dyDescent="0.3">
      <c r="B7" s="2" t="s">
        <v>4</v>
      </c>
    </row>
    <row r="8" spans="1:12" ht="15.75" customHeight="1" x14ac:dyDescent="0.3">
      <c r="C8" s="3" t="s">
        <v>5</v>
      </c>
      <c r="I8" t="s">
        <v>118</v>
      </c>
    </row>
    <row r="9" spans="1:12" ht="15.75" customHeight="1" x14ac:dyDescent="0.3">
      <c r="C9" s="3" t="s">
        <v>6</v>
      </c>
      <c r="G9" t="s">
        <v>119</v>
      </c>
    </row>
    <row r="10" spans="1:12" ht="15.75" customHeight="1" x14ac:dyDescent="0.3">
      <c r="C10" s="3" t="s">
        <v>7</v>
      </c>
    </row>
    <row r="11" spans="1:12" ht="15.75" customHeight="1" x14ac:dyDescent="0.3">
      <c r="B11" s="4"/>
    </row>
    <row r="12" spans="1:12" ht="15.75" customHeight="1" x14ac:dyDescent="0.3">
      <c r="B12" s="2" t="s">
        <v>8</v>
      </c>
    </row>
    <row r="13" spans="1:12" ht="15.75" customHeight="1" x14ac:dyDescent="0.3">
      <c r="B13" s="2"/>
      <c r="C13" s="3" t="s">
        <v>9</v>
      </c>
      <c r="K13" t="s">
        <v>120</v>
      </c>
    </row>
    <row r="14" spans="1:12" ht="15.75" customHeight="1" x14ac:dyDescent="0.25"/>
    <row r="15" spans="1:12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2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 t="s">
        <v>122</v>
      </c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sqref="A1:F35"/>
    </sheetView>
  </sheetViews>
  <sheetFormatPr defaultColWidth="12.6640625" defaultRowHeight="15" customHeight="1" x14ac:dyDescent="0.25"/>
  <cols>
    <col min="1" max="1" width="15.5546875" bestFit="1" customWidth="1"/>
    <col min="2" max="7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t="s">
        <v>85</v>
      </c>
      <c r="B2" s="5" t="s">
        <v>25</v>
      </c>
      <c r="C2" s="5" t="s">
        <v>26</v>
      </c>
      <c r="D2" s="5">
        <v>1000</v>
      </c>
      <c r="E2" s="5">
        <v>30</v>
      </c>
      <c r="F2" s="5" t="s">
        <v>27</v>
      </c>
    </row>
    <row r="3" spans="1:16" ht="15.75" customHeight="1" x14ac:dyDescent="0.3">
      <c r="A3" t="s">
        <v>86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t="s">
        <v>87</v>
      </c>
      <c r="B4" s="5" t="s">
        <v>31</v>
      </c>
      <c r="C4" s="5" t="s">
        <v>32</v>
      </c>
      <c r="D4" s="5">
        <v>130</v>
      </c>
      <c r="E4" s="5">
        <v>40</v>
      </c>
      <c r="F4" s="5" t="s">
        <v>33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t="s">
        <v>88</v>
      </c>
      <c r="B5" s="8" t="s">
        <v>34</v>
      </c>
      <c r="C5" s="8" t="s">
        <v>35</v>
      </c>
      <c r="D5" s="8">
        <v>900</v>
      </c>
      <c r="E5" s="8">
        <v>25</v>
      </c>
      <c r="F5" s="8" t="s">
        <v>27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t="s">
        <v>89</v>
      </c>
      <c r="B6" s="5" t="s">
        <v>36</v>
      </c>
      <c r="C6" s="5" t="s">
        <v>37</v>
      </c>
      <c r="D6" s="5">
        <v>70</v>
      </c>
      <c r="E6" s="5">
        <v>20</v>
      </c>
      <c r="F6" s="5"/>
    </row>
    <row r="7" spans="1:16" ht="15.75" customHeight="1" x14ac:dyDescent="0.25">
      <c r="A7" t="s">
        <v>90</v>
      </c>
      <c r="B7" s="8" t="s">
        <v>38</v>
      </c>
      <c r="C7" s="8" t="s">
        <v>39</v>
      </c>
      <c r="D7" s="8"/>
      <c r="E7" s="8">
        <v>45</v>
      </c>
      <c r="F7" s="8" t="s">
        <v>40</v>
      </c>
    </row>
    <row r="8" spans="1:16" ht="15.75" customHeight="1" x14ac:dyDescent="0.25">
      <c r="A8" t="s">
        <v>91</v>
      </c>
      <c r="B8" s="5" t="s">
        <v>41</v>
      </c>
      <c r="C8" s="5" t="s">
        <v>42</v>
      </c>
      <c r="D8" s="5">
        <v>30</v>
      </c>
      <c r="E8" s="5">
        <v>5</v>
      </c>
      <c r="F8" s="5" t="s">
        <v>30</v>
      </c>
    </row>
    <row r="9" spans="1:16" ht="15.75" customHeight="1" x14ac:dyDescent="0.25">
      <c r="A9" t="s">
        <v>92</v>
      </c>
      <c r="B9" s="8" t="s">
        <v>43</v>
      </c>
      <c r="C9" s="8" t="s">
        <v>44</v>
      </c>
      <c r="D9" s="8">
        <v>90</v>
      </c>
      <c r="E9" s="8">
        <v>35</v>
      </c>
      <c r="F9" s="8" t="s">
        <v>33</v>
      </c>
    </row>
    <row r="10" spans="1:16" ht="15.75" customHeight="1" x14ac:dyDescent="0.25">
      <c r="A10" t="s">
        <v>93</v>
      </c>
      <c r="B10" s="5" t="s">
        <v>45</v>
      </c>
      <c r="C10" s="5" t="s">
        <v>46</v>
      </c>
      <c r="D10" s="5">
        <v>500</v>
      </c>
      <c r="E10" s="5">
        <v>50</v>
      </c>
      <c r="F10" s="5" t="s">
        <v>27</v>
      </c>
    </row>
    <row r="11" spans="1:16" ht="15.75" customHeight="1" x14ac:dyDescent="0.25">
      <c r="A11" t="s">
        <v>94</v>
      </c>
      <c r="B11" s="8" t="s">
        <v>47</v>
      </c>
      <c r="C11" s="8" t="s">
        <v>48</v>
      </c>
      <c r="D11" s="8">
        <v>130</v>
      </c>
      <c r="E11" s="8">
        <v>10</v>
      </c>
      <c r="F11" s="8" t="s">
        <v>49</v>
      </c>
    </row>
    <row r="12" spans="1:16" ht="15.75" customHeight="1" x14ac:dyDescent="0.25">
      <c r="A12" t="s">
        <v>95</v>
      </c>
      <c r="B12" s="5" t="s">
        <v>50</v>
      </c>
      <c r="C12" s="5" t="s">
        <v>51</v>
      </c>
      <c r="D12" s="5">
        <v>950</v>
      </c>
      <c r="E12" s="5">
        <v>25</v>
      </c>
      <c r="F12" s="5" t="s">
        <v>27</v>
      </c>
    </row>
    <row r="13" spans="1:16" ht="15.75" customHeight="1" x14ac:dyDescent="0.25">
      <c r="A13" t="s">
        <v>96</v>
      </c>
      <c r="B13" s="8" t="s">
        <v>28</v>
      </c>
      <c r="C13" s="8" t="s">
        <v>42</v>
      </c>
      <c r="D13" s="8">
        <v>90</v>
      </c>
      <c r="E13" s="8">
        <v>40</v>
      </c>
      <c r="F13" s="8"/>
    </row>
    <row r="14" spans="1:16" ht="15.75" customHeight="1" x14ac:dyDescent="0.25">
      <c r="A14" t="s">
        <v>97</v>
      </c>
      <c r="B14" s="5" t="s">
        <v>31</v>
      </c>
      <c r="C14" s="5" t="s">
        <v>52</v>
      </c>
      <c r="D14" s="5">
        <v>120</v>
      </c>
      <c r="E14" s="5">
        <v>35</v>
      </c>
      <c r="F14" s="5"/>
    </row>
    <row r="15" spans="1:16" ht="15.75" customHeight="1" x14ac:dyDescent="0.25">
      <c r="A15" t="s">
        <v>98</v>
      </c>
      <c r="B15" s="8" t="s">
        <v>53</v>
      </c>
      <c r="C15" s="8" t="s">
        <v>54</v>
      </c>
      <c r="D15" s="8">
        <v>150</v>
      </c>
      <c r="E15" s="8">
        <v>15</v>
      </c>
      <c r="F15" s="8" t="s">
        <v>40</v>
      </c>
    </row>
    <row r="16" spans="1:16" ht="15.75" customHeight="1" x14ac:dyDescent="0.25">
      <c r="A16" t="s">
        <v>99</v>
      </c>
      <c r="B16" s="5" t="s">
        <v>55</v>
      </c>
      <c r="C16" s="5" t="s">
        <v>56</v>
      </c>
      <c r="D16" s="5">
        <v>250</v>
      </c>
      <c r="E16" s="5">
        <v>20</v>
      </c>
      <c r="F16" s="5" t="s">
        <v>40</v>
      </c>
    </row>
    <row r="17" spans="1:6" ht="15.75" customHeight="1" x14ac:dyDescent="0.25">
      <c r="A17" t="s">
        <v>100</v>
      </c>
      <c r="B17" s="8" t="s">
        <v>57</v>
      </c>
      <c r="C17" s="8" t="s">
        <v>58</v>
      </c>
      <c r="D17" s="8">
        <v>50</v>
      </c>
      <c r="E17" s="8">
        <v>35</v>
      </c>
      <c r="F17" s="8" t="s">
        <v>59</v>
      </c>
    </row>
    <row r="18" spans="1:6" ht="15.75" customHeight="1" x14ac:dyDescent="0.25">
      <c r="A18" t="s">
        <v>101</v>
      </c>
      <c r="B18" s="5" t="s">
        <v>53</v>
      </c>
      <c r="C18" s="5" t="s">
        <v>60</v>
      </c>
      <c r="D18" s="5">
        <v>160</v>
      </c>
      <c r="E18" s="5">
        <v>15</v>
      </c>
      <c r="F18" s="5" t="s">
        <v>40</v>
      </c>
    </row>
    <row r="19" spans="1:6" ht="15.75" customHeight="1" x14ac:dyDescent="0.25">
      <c r="A19" t="s">
        <v>102</v>
      </c>
      <c r="B19" s="8" t="s">
        <v>25</v>
      </c>
      <c r="C19" s="8" t="s">
        <v>61</v>
      </c>
      <c r="D19" s="8">
        <v>980</v>
      </c>
      <c r="E19" s="8">
        <v>10</v>
      </c>
      <c r="F19" s="8" t="s">
        <v>27</v>
      </c>
    </row>
    <row r="20" spans="1:6" ht="15.75" customHeight="1" x14ac:dyDescent="0.25">
      <c r="A20" t="s">
        <v>103</v>
      </c>
      <c r="B20" s="5" t="s">
        <v>62</v>
      </c>
      <c r="C20" s="5" t="s">
        <v>63</v>
      </c>
      <c r="D20" s="5">
        <v>150</v>
      </c>
      <c r="E20" s="5">
        <v>15</v>
      </c>
      <c r="F20" s="5" t="s">
        <v>30</v>
      </c>
    </row>
    <row r="21" spans="1:6" ht="15.75" customHeight="1" x14ac:dyDescent="0.25">
      <c r="A21" t="s">
        <v>104</v>
      </c>
      <c r="B21" s="8" t="s">
        <v>64</v>
      </c>
      <c r="C21" s="8" t="s">
        <v>65</v>
      </c>
      <c r="D21" s="8"/>
      <c r="E21" s="8">
        <v>10</v>
      </c>
      <c r="F21" s="8" t="s">
        <v>49</v>
      </c>
    </row>
    <row r="22" spans="1:6" ht="15.75" customHeight="1" x14ac:dyDescent="0.25">
      <c r="A22" t="s">
        <v>105</v>
      </c>
      <c r="B22" s="5" t="s">
        <v>66</v>
      </c>
      <c r="C22" s="5" t="s">
        <v>67</v>
      </c>
      <c r="D22" s="5">
        <v>700</v>
      </c>
      <c r="E22" s="5">
        <v>50</v>
      </c>
      <c r="F22" s="5" t="s">
        <v>27</v>
      </c>
    </row>
    <row r="23" spans="1:6" ht="15.75" customHeight="1" x14ac:dyDescent="0.25">
      <c r="A23" t="s">
        <v>106</v>
      </c>
      <c r="B23" s="8" t="s">
        <v>68</v>
      </c>
      <c r="C23" s="8" t="s">
        <v>69</v>
      </c>
      <c r="D23" s="8">
        <v>80</v>
      </c>
      <c r="E23" s="8">
        <v>20</v>
      </c>
      <c r="F23" s="8" t="s">
        <v>33</v>
      </c>
    </row>
    <row r="24" spans="1:6" ht="15.75" customHeight="1" x14ac:dyDescent="0.25">
      <c r="A24" t="s">
        <v>107</v>
      </c>
      <c r="B24" s="5" t="s">
        <v>70</v>
      </c>
      <c r="C24" s="5" t="s">
        <v>71</v>
      </c>
      <c r="D24" s="5">
        <v>150</v>
      </c>
      <c r="E24" s="5">
        <v>30</v>
      </c>
      <c r="F24" s="5"/>
    </row>
    <row r="25" spans="1:6" ht="15.75" customHeight="1" x14ac:dyDescent="0.25">
      <c r="A25" t="s">
        <v>100</v>
      </c>
      <c r="B25" s="8" t="s">
        <v>57</v>
      </c>
      <c r="C25" s="8" t="s">
        <v>58</v>
      </c>
      <c r="D25" s="8">
        <v>50</v>
      </c>
      <c r="E25" s="8">
        <v>35</v>
      </c>
      <c r="F25" s="8" t="s">
        <v>59</v>
      </c>
    </row>
    <row r="26" spans="1:6" ht="15.75" customHeight="1" x14ac:dyDescent="0.25">
      <c r="A26" t="s">
        <v>108</v>
      </c>
      <c r="B26" s="5" t="s">
        <v>72</v>
      </c>
      <c r="C26" s="5" t="s">
        <v>73</v>
      </c>
      <c r="D26" s="5">
        <v>800</v>
      </c>
      <c r="E26" s="5">
        <v>45</v>
      </c>
      <c r="F26" s="5" t="s">
        <v>27</v>
      </c>
    </row>
    <row r="27" spans="1:6" ht="15.75" customHeight="1" x14ac:dyDescent="0.25">
      <c r="A27" t="s">
        <v>109</v>
      </c>
      <c r="B27" s="8" t="s">
        <v>62</v>
      </c>
      <c r="C27" s="8" t="s">
        <v>74</v>
      </c>
      <c r="D27" s="8"/>
      <c r="E27" s="8">
        <v>25</v>
      </c>
      <c r="F27" s="8" t="s">
        <v>30</v>
      </c>
    </row>
    <row r="28" spans="1:6" ht="15.75" customHeight="1" x14ac:dyDescent="0.25">
      <c r="A28" t="s">
        <v>110</v>
      </c>
      <c r="B28" s="5" t="s">
        <v>43</v>
      </c>
      <c r="C28" s="5" t="s">
        <v>75</v>
      </c>
      <c r="D28" s="5">
        <v>400</v>
      </c>
      <c r="E28" s="5">
        <v>40</v>
      </c>
      <c r="F28" s="5" t="s">
        <v>33</v>
      </c>
    </row>
    <row r="29" spans="1:6" ht="15.75" customHeight="1" x14ac:dyDescent="0.25">
      <c r="A29" t="s">
        <v>99</v>
      </c>
      <c r="B29" s="8" t="s">
        <v>55</v>
      </c>
      <c r="C29" s="8" t="s">
        <v>56</v>
      </c>
      <c r="D29" s="8">
        <v>250</v>
      </c>
      <c r="E29" s="8">
        <v>20</v>
      </c>
      <c r="F29" s="8" t="s">
        <v>40</v>
      </c>
    </row>
    <row r="30" spans="1:6" ht="15.75" customHeight="1" x14ac:dyDescent="0.25">
      <c r="A30" t="s">
        <v>111</v>
      </c>
      <c r="B30" s="5" t="s">
        <v>76</v>
      </c>
      <c r="C30" s="5" t="s">
        <v>77</v>
      </c>
      <c r="D30" s="5">
        <v>60</v>
      </c>
      <c r="E30" s="5">
        <v>30</v>
      </c>
      <c r="F30" s="5" t="s">
        <v>30</v>
      </c>
    </row>
    <row r="31" spans="1:6" ht="15.75" customHeight="1" x14ac:dyDescent="0.25">
      <c r="A31" t="s">
        <v>112</v>
      </c>
      <c r="B31" s="8" t="s">
        <v>78</v>
      </c>
      <c r="C31" s="8" t="s">
        <v>79</v>
      </c>
      <c r="D31" s="8">
        <v>40</v>
      </c>
      <c r="E31" s="8">
        <v>10</v>
      </c>
      <c r="F31" s="8" t="s">
        <v>33</v>
      </c>
    </row>
    <row r="32" spans="1:6" ht="15.75" customHeight="1" x14ac:dyDescent="0.25">
      <c r="A32" t="s">
        <v>113</v>
      </c>
      <c r="B32" s="5" t="s">
        <v>70</v>
      </c>
      <c r="C32" s="5" t="s">
        <v>80</v>
      </c>
      <c r="D32" s="5">
        <v>130</v>
      </c>
      <c r="E32" s="5">
        <v>5</v>
      </c>
      <c r="F32" s="5" t="s">
        <v>27</v>
      </c>
    </row>
    <row r="33" spans="1:6" ht="15.75" customHeight="1" x14ac:dyDescent="0.25">
      <c r="A33" t="s">
        <v>114</v>
      </c>
      <c r="B33" s="8" t="s">
        <v>81</v>
      </c>
      <c r="C33" s="8" t="s">
        <v>82</v>
      </c>
      <c r="D33" s="8">
        <v>50</v>
      </c>
      <c r="E33" s="8">
        <v>50</v>
      </c>
      <c r="F33" s="8" t="s">
        <v>30</v>
      </c>
    </row>
    <row r="34" spans="1:6" ht="15.75" customHeight="1" x14ac:dyDescent="0.25">
      <c r="A34" t="s">
        <v>95</v>
      </c>
      <c r="B34" s="5" t="s">
        <v>50</v>
      </c>
      <c r="C34" s="5" t="s">
        <v>51</v>
      </c>
      <c r="D34" s="5">
        <v>950</v>
      </c>
      <c r="E34" s="5">
        <v>25</v>
      </c>
      <c r="F34" s="5" t="s">
        <v>27</v>
      </c>
    </row>
    <row r="35" spans="1:6" ht="15.75" customHeight="1" x14ac:dyDescent="0.25">
      <c r="A35" t="s">
        <v>115</v>
      </c>
      <c r="B35" s="8" t="s">
        <v>83</v>
      </c>
      <c r="C35" s="8" t="s">
        <v>84</v>
      </c>
      <c r="D35" s="8">
        <v>100</v>
      </c>
      <c r="E35" s="8">
        <v>20</v>
      </c>
      <c r="F35" s="8" t="s">
        <v>59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56A3-9482-4979-9E30-6590CDC9834C}">
  <dimension ref="A1:L35"/>
  <sheetViews>
    <sheetView tabSelected="1" zoomScaleNormal="100" workbookViewId="0">
      <selection activeCell="D34" sqref="D34"/>
    </sheetView>
  </sheetViews>
  <sheetFormatPr defaultRowHeight="13.2" x14ac:dyDescent="0.25"/>
  <cols>
    <col min="1" max="1" width="17.44140625" customWidth="1"/>
    <col min="2" max="2" width="17.33203125" customWidth="1"/>
    <col min="3" max="3" width="14.77734375" customWidth="1"/>
    <col min="4" max="4" width="10.21875" customWidth="1"/>
    <col min="5" max="5" width="10.33203125" customWidth="1"/>
    <col min="6" max="6" width="13.44140625" bestFit="1" customWidth="1"/>
    <col min="7" max="7" width="22.6640625" bestFit="1" customWidth="1"/>
    <col min="8" max="8" width="17.77734375" bestFit="1" customWidth="1"/>
    <col min="9" max="9" width="13.6640625" bestFit="1" customWidth="1"/>
    <col min="10" max="10" width="21.44140625" bestFit="1" customWidth="1"/>
    <col min="11" max="11" width="9.6640625" style="18" bestFit="1" customWidth="1"/>
    <col min="12" max="12" width="11" bestFit="1" customWidth="1"/>
  </cols>
  <sheetData>
    <row r="1" spans="1:12" x14ac:dyDescent="0.25">
      <c r="A1" s="9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11" t="s">
        <v>24</v>
      </c>
      <c r="G1" s="20" t="s">
        <v>135</v>
      </c>
      <c r="H1" s="20" t="s">
        <v>136</v>
      </c>
      <c r="I1" s="21" t="s">
        <v>20</v>
      </c>
      <c r="J1" s="21" t="s">
        <v>121</v>
      </c>
      <c r="K1" s="22" t="s">
        <v>22</v>
      </c>
      <c r="L1" s="21" t="s">
        <v>24</v>
      </c>
    </row>
    <row r="2" spans="1:12" ht="15.6" customHeight="1" x14ac:dyDescent="0.25">
      <c r="A2" s="16" t="s">
        <v>85</v>
      </c>
      <c r="B2" s="12" t="s">
        <v>25</v>
      </c>
      <c r="C2" s="12" t="s">
        <v>26</v>
      </c>
      <c r="D2" s="12">
        <v>1000</v>
      </c>
      <c r="E2" s="12">
        <v>30</v>
      </c>
      <c r="F2" s="13" t="s">
        <v>27</v>
      </c>
      <c r="G2" s="23">
        <f>DATE(2000,MONTH(MID(A2,4,3)&amp;"1"),LEFT(A2,2))</f>
        <v>36553</v>
      </c>
      <c r="H2" s="24" t="s">
        <v>123</v>
      </c>
      <c r="I2" s="25" t="str" cm="1">
        <f t="array" ref="I2:I32">PROPER(Table2[Product Name])</f>
        <v>Laptop</v>
      </c>
      <c r="J2" s="25" t="str">
        <f t="shared" ref="J2:J32" si="0">CONCATENATE(C2," ",I2)</f>
        <v>Dell Laptop</v>
      </c>
      <c r="K2" s="26">
        <f>IF(ISBLANK(D2),MEDIAN(Table2[Price ($)]),D2)</f>
        <v>1000</v>
      </c>
      <c r="L2" s="25" t="str">
        <f t="shared" ref="L2:L32" si="1">IF(ISBLANK(F2), "Unknown",F2)</f>
        <v>Electronics</v>
      </c>
    </row>
    <row r="3" spans="1:12" ht="15.6" customHeight="1" x14ac:dyDescent="0.25">
      <c r="A3" s="16" t="s">
        <v>86</v>
      </c>
      <c r="B3" s="14" t="s">
        <v>28</v>
      </c>
      <c r="C3" s="14" t="s">
        <v>29</v>
      </c>
      <c r="D3" s="14">
        <v>80</v>
      </c>
      <c r="E3" s="14">
        <v>15</v>
      </c>
      <c r="F3" s="15" t="s">
        <v>30</v>
      </c>
      <c r="G3" s="23">
        <f t="shared" ref="G3:G32" si="2">DATE(2000,MONTH(MID(A3,4,3)&amp;"1"),LEFT(A3,2))</f>
        <v>36571</v>
      </c>
      <c r="H3" s="24" t="s">
        <v>123</v>
      </c>
      <c r="I3" s="25" t="str">
        <v>Sneakers</v>
      </c>
      <c r="J3" s="25" t="str">
        <f t="shared" si="0"/>
        <v>Nike Sneakers</v>
      </c>
      <c r="K3" s="26">
        <f>IF(ISBLANK(D3),MEDIAN(Table2[Price ($)]),D3)</f>
        <v>80</v>
      </c>
      <c r="L3" s="25" t="str">
        <f t="shared" si="1"/>
        <v>Fashion</v>
      </c>
    </row>
    <row r="4" spans="1:12" ht="15.6" customHeight="1" x14ac:dyDescent="0.25">
      <c r="A4" s="16" t="s">
        <v>87</v>
      </c>
      <c r="B4" s="12" t="s">
        <v>31</v>
      </c>
      <c r="C4" s="12" t="s">
        <v>32</v>
      </c>
      <c r="D4" s="12">
        <v>130</v>
      </c>
      <c r="E4" s="12">
        <v>40</v>
      </c>
      <c r="F4" s="13" t="s">
        <v>33</v>
      </c>
      <c r="G4" s="23">
        <f t="shared" si="2"/>
        <v>36588</v>
      </c>
      <c r="H4" s="24" t="s">
        <v>123</v>
      </c>
      <c r="I4" s="25" t="str">
        <v>Coffee Maker</v>
      </c>
      <c r="J4" s="25" t="str">
        <f t="shared" si="0"/>
        <v>Keurig Coffee Maker</v>
      </c>
      <c r="K4" s="26">
        <f>IF(ISBLANK(D4),MEDIAN(Table2[Price ($)]),D4)</f>
        <v>130</v>
      </c>
      <c r="L4" s="25" t="str">
        <f t="shared" si="1"/>
        <v>Kitchen</v>
      </c>
    </row>
    <row r="5" spans="1:12" ht="15.6" customHeight="1" x14ac:dyDescent="0.25">
      <c r="A5" s="16" t="s">
        <v>88</v>
      </c>
      <c r="B5" s="14" t="s">
        <v>34</v>
      </c>
      <c r="C5" s="14" t="s">
        <v>35</v>
      </c>
      <c r="D5" s="14">
        <v>900</v>
      </c>
      <c r="E5" s="14">
        <v>25</v>
      </c>
      <c r="F5" s="15" t="s">
        <v>27</v>
      </c>
      <c r="G5" s="23">
        <f t="shared" si="2"/>
        <v>36627</v>
      </c>
      <c r="H5" s="24" t="s">
        <v>123</v>
      </c>
      <c r="I5" s="25" t="str">
        <v>Smartphone</v>
      </c>
      <c r="J5" s="25" t="str">
        <f t="shared" si="0"/>
        <v>Samsung Smartphone</v>
      </c>
      <c r="K5" s="26">
        <f>IF(ISBLANK(D5),MEDIAN(Table2[Price ($)]),D5)</f>
        <v>900</v>
      </c>
      <c r="L5" s="25" t="str">
        <f t="shared" si="1"/>
        <v>Electronics</v>
      </c>
    </row>
    <row r="6" spans="1:12" ht="15.6" customHeight="1" x14ac:dyDescent="0.25">
      <c r="A6" s="16" t="s">
        <v>89</v>
      </c>
      <c r="B6" s="12" t="s">
        <v>36</v>
      </c>
      <c r="C6" s="12" t="s">
        <v>37</v>
      </c>
      <c r="D6" s="12">
        <v>70</v>
      </c>
      <c r="E6" s="12">
        <v>20</v>
      </c>
      <c r="F6" s="13"/>
      <c r="G6" s="23">
        <f t="shared" si="2"/>
        <v>36668</v>
      </c>
      <c r="H6" s="24" t="s">
        <v>123</v>
      </c>
      <c r="I6" s="25" t="str">
        <v>Backpack</v>
      </c>
      <c r="J6" s="25" t="str">
        <f t="shared" si="0"/>
        <v>North Face Backpack</v>
      </c>
      <c r="K6" s="26">
        <f>IF(ISBLANK(D6),MEDIAN(Table2[Price ($)]),D6)</f>
        <v>70</v>
      </c>
      <c r="L6" s="25" t="str">
        <f t="shared" si="1"/>
        <v>Unknown</v>
      </c>
    </row>
    <row r="7" spans="1:12" ht="15.6" customHeight="1" x14ac:dyDescent="0.25">
      <c r="A7" s="16" t="s">
        <v>90</v>
      </c>
      <c r="B7" s="14" t="s">
        <v>38</v>
      </c>
      <c r="C7" s="14" t="s">
        <v>39</v>
      </c>
      <c r="D7" s="14"/>
      <c r="E7" s="14">
        <v>45</v>
      </c>
      <c r="F7" s="15" t="s">
        <v>27</v>
      </c>
      <c r="G7" s="23">
        <f t="shared" si="2"/>
        <v>36684</v>
      </c>
      <c r="H7" s="24" t="s">
        <v>124</v>
      </c>
      <c r="I7" s="25" t="str">
        <v>Headphones</v>
      </c>
      <c r="J7" s="25" t="str">
        <f t="shared" si="0"/>
        <v>Sony Headphones</v>
      </c>
      <c r="K7" s="26">
        <f>IF(ISBLANK(D7),MEDIAN(Table2[Price ($)]),D7)</f>
        <v>130</v>
      </c>
      <c r="L7" s="25" t="str">
        <f t="shared" si="1"/>
        <v>Electronics</v>
      </c>
    </row>
    <row r="8" spans="1:12" ht="15.6" customHeight="1" x14ac:dyDescent="0.25">
      <c r="A8" s="16" t="s">
        <v>91</v>
      </c>
      <c r="B8" s="12" t="s">
        <v>41</v>
      </c>
      <c r="C8" s="12" t="s">
        <v>42</v>
      </c>
      <c r="D8" s="12">
        <v>30</v>
      </c>
      <c r="E8" s="12">
        <v>5</v>
      </c>
      <c r="F8" s="13" t="s">
        <v>30</v>
      </c>
      <c r="G8" s="23">
        <f t="shared" si="2"/>
        <v>36726</v>
      </c>
      <c r="H8" s="24" t="s">
        <v>124</v>
      </c>
      <c r="I8" s="25" t="str">
        <v>T-Shirt</v>
      </c>
      <c r="J8" s="25" t="str">
        <f t="shared" si="0"/>
        <v>Adidas T-Shirt</v>
      </c>
      <c r="K8" s="26">
        <f>IF(ISBLANK(D8),MEDIAN(Table2[Price ($)]),D8)</f>
        <v>30</v>
      </c>
      <c r="L8" s="25" t="str">
        <f t="shared" si="1"/>
        <v>Fashion</v>
      </c>
    </row>
    <row r="9" spans="1:12" ht="15.6" customHeight="1" x14ac:dyDescent="0.25">
      <c r="A9" s="16" t="s">
        <v>92</v>
      </c>
      <c r="B9" s="14" t="s">
        <v>43</v>
      </c>
      <c r="C9" s="14" t="s">
        <v>44</v>
      </c>
      <c r="D9" s="14">
        <v>90</v>
      </c>
      <c r="E9" s="14">
        <v>35</v>
      </c>
      <c r="F9" s="15" t="s">
        <v>33</v>
      </c>
      <c r="G9" s="23">
        <f t="shared" si="2"/>
        <v>36761</v>
      </c>
      <c r="H9" s="24" t="s">
        <v>124</v>
      </c>
      <c r="I9" s="25" t="str">
        <v>Blender</v>
      </c>
      <c r="J9" s="25" t="str">
        <f t="shared" si="0"/>
        <v>Ninja Blender</v>
      </c>
      <c r="K9" s="26">
        <f>IF(ISBLANK(D9),MEDIAN(Table2[Price ($)]),D9)</f>
        <v>90</v>
      </c>
      <c r="L9" s="25" t="str">
        <f t="shared" si="1"/>
        <v>Kitchen</v>
      </c>
    </row>
    <row r="10" spans="1:12" ht="15.6" customHeight="1" x14ac:dyDescent="0.25">
      <c r="A10" s="16" t="s">
        <v>93</v>
      </c>
      <c r="B10" s="12" t="s">
        <v>45</v>
      </c>
      <c r="C10" s="12" t="s">
        <v>46</v>
      </c>
      <c r="D10" s="12">
        <v>500</v>
      </c>
      <c r="E10" s="12">
        <v>50</v>
      </c>
      <c r="F10" s="13" t="s">
        <v>27</v>
      </c>
      <c r="G10" s="23">
        <f t="shared" si="2"/>
        <v>36774</v>
      </c>
      <c r="H10" s="24" t="s">
        <v>124</v>
      </c>
      <c r="I10" s="25" t="str">
        <v>Tablet</v>
      </c>
      <c r="J10" s="25" t="str">
        <f t="shared" si="0"/>
        <v>Apple Tablet</v>
      </c>
      <c r="K10" s="26">
        <f>IF(ISBLANK(D10),MEDIAN(Table2[Price ($)]),D10)</f>
        <v>500</v>
      </c>
      <c r="L10" s="25" t="str">
        <f t="shared" si="1"/>
        <v>Electronics</v>
      </c>
    </row>
    <row r="11" spans="1:12" ht="15.6" customHeight="1" x14ac:dyDescent="0.25">
      <c r="A11" s="16" t="s">
        <v>94</v>
      </c>
      <c r="B11" s="14" t="s">
        <v>47</v>
      </c>
      <c r="C11" s="14" t="s">
        <v>48</v>
      </c>
      <c r="D11" s="14">
        <v>130</v>
      </c>
      <c r="E11" s="14">
        <v>10</v>
      </c>
      <c r="F11" s="15" t="s">
        <v>49</v>
      </c>
      <c r="G11" s="23">
        <f t="shared" si="2"/>
        <v>36813</v>
      </c>
      <c r="H11" s="24" t="s">
        <v>124</v>
      </c>
      <c r="I11" s="25" t="str">
        <v>Hiking Boots</v>
      </c>
      <c r="J11" s="25" t="str">
        <f t="shared" si="0"/>
        <v>Timberland Hiking Boots</v>
      </c>
      <c r="K11" s="26">
        <f>IF(ISBLANK(D11),MEDIAN(Table2[Price ($)]),D11)</f>
        <v>130</v>
      </c>
      <c r="L11" s="25" t="str">
        <f t="shared" si="1"/>
        <v>Outdoor</v>
      </c>
    </row>
    <row r="12" spans="1:12" ht="15.6" customHeight="1" x14ac:dyDescent="0.25">
      <c r="A12" s="16" t="s">
        <v>95</v>
      </c>
      <c r="B12" s="12" t="s">
        <v>50</v>
      </c>
      <c r="C12" s="12" t="s">
        <v>51</v>
      </c>
      <c r="D12" s="12">
        <v>950</v>
      </c>
      <c r="E12" s="12">
        <v>25</v>
      </c>
      <c r="F12" s="13" t="s">
        <v>27</v>
      </c>
      <c r="G12" s="23">
        <f t="shared" si="2"/>
        <v>36694</v>
      </c>
      <c r="H12" s="24" t="s">
        <v>125</v>
      </c>
      <c r="I12" s="25" t="str">
        <v>Laptop</v>
      </c>
      <c r="J12" s="25" t="str">
        <f t="shared" si="0"/>
        <v>HP Laptop</v>
      </c>
      <c r="K12" s="26">
        <f>IF(ISBLANK(D12),MEDIAN(Table2[Price ($)]),D12)</f>
        <v>950</v>
      </c>
      <c r="L12" s="25" t="str">
        <f t="shared" si="1"/>
        <v>Electronics</v>
      </c>
    </row>
    <row r="13" spans="1:12" ht="15.6" customHeight="1" x14ac:dyDescent="0.25">
      <c r="A13" s="16" t="s">
        <v>96</v>
      </c>
      <c r="B13" s="14" t="s">
        <v>28</v>
      </c>
      <c r="C13" s="14" t="s">
        <v>42</v>
      </c>
      <c r="D13" s="14">
        <v>90</v>
      </c>
      <c r="E13" s="14">
        <v>40</v>
      </c>
      <c r="F13" s="15"/>
      <c r="G13" s="23">
        <f t="shared" si="2"/>
        <v>36855</v>
      </c>
      <c r="H13" s="24" t="s">
        <v>126</v>
      </c>
      <c r="I13" s="25" t="str">
        <v>Sneakers</v>
      </c>
      <c r="J13" s="25" t="str">
        <f t="shared" si="0"/>
        <v>Adidas Sneakers</v>
      </c>
      <c r="K13" s="26">
        <f>IF(ISBLANK(D13),MEDIAN(Table2[Price ($)]),D13)</f>
        <v>90</v>
      </c>
      <c r="L13" s="25" t="str">
        <f t="shared" si="1"/>
        <v>Unknown</v>
      </c>
    </row>
    <row r="14" spans="1:12" ht="15.6" customHeight="1" x14ac:dyDescent="0.25">
      <c r="A14" s="16" t="s">
        <v>97</v>
      </c>
      <c r="B14" s="12" t="s">
        <v>31</v>
      </c>
      <c r="C14" s="12" t="s">
        <v>52</v>
      </c>
      <c r="D14" s="12">
        <v>120</v>
      </c>
      <c r="E14" s="12">
        <v>35</v>
      </c>
      <c r="F14" s="13"/>
      <c r="G14" s="23">
        <f t="shared" si="2"/>
        <v>36868</v>
      </c>
      <c r="H14" s="24" t="s">
        <v>127</v>
      </c>
      <c r="I14" s="25" t="str">
        <v>Coffee Maker</v>
      </c>
      <c r="J14" s="25" t="str">
        <f t="shared" si="0"/>
        <v>Nespresso Coffee Maker</v>
      </c>
      <c r="K14" s="26">
        <f>IF(ISBLANK(D14),MEDIAN(Table2[Price ($)]),D14)</f>
        <v>120</v>
      </c>
      <c r="L14" s="25" t="str">
        <f t="shared" si="1"/>
        <v>Unknown</v>
      </c>
    </row>
    <row r="15" spans="1:12" ht="15.6" customHeight="1" x14ac:dyDescent="0.25">
      <c r="A15" s="16" t="s">
        <v>98</v>
      </c>
      <c r="B15" s="14" t="s">
        <v>53</v>
      </c>
      <c r="C15" s="14" t="s">
        <v>54</v>
      </c>
      <c r="D15" s="14">
        <v>150</v>
      </c>
      <c r="E15" s="14">
        <v>15</v>
      </c>
      <c r="F15" s="15" t="s">
        <v>27</v>
      </c>
      <c r="G15" s="23">
        <f t="shared" si="2"/>
        <v>36574</v>
      </c>
      <c r="H15" s="24" t="s">
        <v>128</v>
      </c>
      <c r="I15" s="25" t="str">
        <v>Smartwatch</v>
      </c>
      <c r="J15" s="25" t="str">
        <f t="shared" si="0"/>
        <v>Fitbit Smartwatch</v>
      </c>
      <c r="K15" s="26">
        <f>IF(ISBLANK(D15),MEDIAN(Table2[Price ($)]),D15)</f>
        <v>150</v>
      </c>
      <c r="L15" s="25" t="str">
        <f t="shared" si="1"/>
        <v>Electronics</v>
      </c>
    </row>
    <row r="16" spans="1:12" ht="15.6" customHeight="1" x14ac:dyDescent="0.25">
      <c r="A16" s="16" t="s">
        <v>99</v>
      </c>
      <c r="B16" s="12" t="s">
        <v>55</v>
      </c>
      <c r="C16" s="12" t="s">
        <v>56</v>
      </c>
      <c r="D16" s="12">
        <v>250</v>
      </c>
      <c r="E16" s="12">
        <v>20</v>
      </c>
      <c r="F16" s="13" t="s">
        <v>27</v>
      </c>
      <c r="G16" s="23">
        <f t="shared" si="2"/>
        <v>36632</v>
      </c>
      <c r="H16" s="24" t="s">
        <v>129</v>
      </c>
      <c r="I16" s="25" t="str">
        <v>Headphones</v>
      </c>
      <c r="J16" s="25" t="str">
        <f t="shared" si="0"/>
        <v>Bose Headphones</v>
      </c>
      <c r="K16" s="26">
        <f>IF(ISBLANK(D16),MEDIAN(Table2[Price ($)]),D16)</f>
        <v>250</v>
      </c>
      <c r="L16" s="25" t="str">
        <f t="shared" si="1"/>
        <v>Electronics</v>
      </c>
    </row>
    <row r="17" spans="1:12" ht="15.6" customHeight="1" x14ac:dyDescent="0.25">
      <c r="A17" s="16" t="s">
        <v>100</v>
      </c>
      <c r="B17" s="14" t="s">
        <v>57</v>
      </c>
      <c r="C17" s="14" t="s">
        <v>58</v>
      </c>
      <c r="D17" s="14">
        <v>50</v>
      </c>
      <c r="E17" s="14">
        <v>35</v>
      </c>
      <c r="F17" s="15" t="s">
        <v>59</v>
      </c>
      <c r="G17" s="23">
        <f t="shared" si="2"/>
        <v>36759</v>
      </c>
      <c r="H17" s="24" t="s">
        <v>128</v>
      </c>
      <c r="I17" s="25" t="str">
        <v>Laptop Bag</v>
      </c>
      <c r="J17" s="25" t="str">
        <f t="shared" si="0"/>
        <v>Samsonite Laptop Bag</v>
      </c>
      <c r="K17" s="26">
        <f>IF(ISBLANK(D17),MEDIAN(Table2[Price ($)]),D17)</f>
        <v>50</v>
      </c>
      <c r="L17" s="25" t="str">
        <f t="shared" si="1"/>
        <v>Accessories</v>
      </c>
    </row>
    <row r="18" spans="1:12" ht="15.6" customHeight="1" x14ac:dyDescent="0.25">
      <c r="A18" s="16" t="s">
        <v>101</v>
      </c>
      <c r="B18" s="12" t="s">
        <v>53</v>
      </c>
      <c r="C18" s="12" t="s">
        <v>60</v>
      </c>
      <c r="D18" s="12">
        <v>160</v>
      </c>
      <c r="E18" s="12">
        <v>15</v>
      </c>
      <c r="F18" s="13" t="s">
        <v>27</v>
      </c>
      <c r="G18" s="23">
        <f t="shared" si="2"/>
        <v>36758</v>
      </c>
      <c r="H18" s="24" t="s">
        <v>130</v>
      </c>
      <c r="I18" s="25" t="str">
        <v>Smartwatch</v>
      </c>
      <c r="J18" s="25" t="str">
        <f t="shared" si="0"/>
        <v>Huawei Smartwatch</v>
      </c>
      <c r="K18" s="26">
        <f>IF(ISBLANK(D18),MEDIAN(Table2[Price ($)]),D18)</f>
        <v>160</v>
      </c>
      <c r="L18" s="25" t="str">
        <f t="shared" si="1"/>
        <v>Electronics</v>
      </c>
    </row>
    <row r="19" spans="1:12" ht="15.6" customHeight="1" x14ac:dyDescent="0.25">
      <c r="A19" s="16" t="s">
        <v>102</v>
      </c>
      <c r="B19" s="14" t="s">
        <v>25</v>
      </c>
      <c r="C19" s="14" t="s">
        <v>61</v>
      </c>
      <c r="D19" s="14">
        <v>980</v>
      </c>
      <c r="E19" s="14">
        <v>10</v>
      </c>
      <c r="F19" s="15" t="s">
        <v>27</v>
      </c>
      <c r="G19" s="23">
        <f t="shared" si="2"/>
        <v>36552</v>
      </c>
      <c r="H19" s="24" t="s">
        <v>131</v>
      </c>
      <c r="I19" s="25" t="str">
        <v>Laptop</v>
      </c>
      <c r="J19" s="25" t="str">
        <f t="shared" si="0"/>
        <v>Asus Laptop</v>
      </c>
      <c r="K19" s="26">
        <f>IF(ISBLANK(D19),MEDIAN(Table2[Price ($)]),D19)</f>
        <v>980</v>
      </c>
      <c r="L19" s="25" t="str">
        <f t="shared" si="1"/>
        <v>Electronics</v>
      </c>
    </row>
    <row r="20" spans="1:12" ht="15.6" customHeight="1" x14ac:dyDescent="0.25">
      <c r="A20" s="16" t="s">
        <v>103</v>
      </c>
      <c r="B20" s="12" t="s">
        <v>62</v>
      </c>
      <c r="C20" s="12" t="s">
        <v>63</v>
      </c>
      <c r="D20" s="12">
        <v>150</v>
      </c>
      <c r="E20" s="12">
        <v>15</v>
      </c>
      <c r="F20" s="13" t="s">
        <v>30</v>
      </c>
      <c r="G20" s="23">
        <f t="shared" si="2"/>
        <v>36586</v>
      </c>
      <c r="H20" s="24" t="s">
        <v>124</v>
      </c>
      <c r="I20" s="25" t="str">
        <v>Sunglasses</v>
      </c>
      <c r="J20" s="25" t="str">
        <f t="shared" si="0"/>
        <v>Oakley Sunglasses</v>
      </c>
      <c r="K20" s="26">
        <f>IF(ISBLANK(D20),MEDIAN(Table2[Price ($)]),D20)</f>
        <v>150</v>
      </c>
      <c r="L20" s="25" t="str">
        <f t="shared" si="1"/>
        <v>Fashion</v>
      </c>
    </row>
    <row r="21" spans="1:12" ht="15.6" customHeight="1" x14ac:dyDescent="0.25">
      <c r="A21" s="16" t="s">
        <v>104</v>
      </c>
      <c r="B21" s="14" t="s">
        <v>64</v>
      </c>
      <c r="C21" s="14" t="s">
        <v>65</v>
      </c>
      <c r="D21" s="14"/>
      <c r="E21" s="14">
        <v>10</v>
      </c>
      <c r="F21" s="15" t="s">
        <v>49</v>
      </c>
      <c r="G21" s="23">
        <f t="shared" si="2"/>
        <v>36752</v>
      </c>
      <c r="H21" s="24" t="s">
        <v>123</v>
      </c>
      <c r="I21" s="25" t="str">
        <v>Camping Tent</v>
      </c>
      <c r="J21" s="25" t="str">
        <f t="shared" si="0"/>
        <v>Coleman Camping Tent</v>
      </c>
      <c r="K21" s="26">
        <f>IF(ISBLANK(D21),MEDIAN(Table2[Price ($)]),D21)</f>
        <v>130</v>
      </c>
      <c r="L21" s="25" t="str">
        <f t="shared" si="1"/>
        <v>Outdoor</v>
      </c>
    </row>
    <row r="22" spans="1:12" ht="15.6" customHeight="1" x14ac:dyDescent="0.25">
      <c r="A22" s="16" t="s">
        <v>105</v>
      </c>
      <c r="B22" s="12" t="s">
        <v>66</v>
      </c>
      <c r="C22" s="12" t="s">
        <v>67</v>
      </c>
      <c r="D22" s="12">
        <v>700</v>
      </c>
      <c r="E22" s="12">
        <v>50</v>
      </c>
      <c r="F22" s="13" t="s">
        <v>27</v>
      </c>
      <c r="G22" s="23">
        <f t="shared" si="2"/>
        <v>36660</v>
      </c>
      <c r="H22" s="24" t="s">
        <v>132</v>
      </c>
      <c r="I22" s="25" t="str">
        <v>Camera</v>
      </c>
      <c r="J22" s="25" t="str">
        <f t="shared" si="0"/>
        <v>Nikon Camera</v>
      </c>
      <c r="K22" s="26">
        <f>IF(ISBLANK(D22),MEDIAN(Table2[Price ($)]),D22)</f>
        <v>700</v>
      </c>
      <c r="L22" s="25" t="str">
        <f t="shared" si="1"/>
        <v>Electronics</v>
      </c>
    </row>
    <row r="23" spans="1:12" ht="15.6" customHeight="1" x14ac:dyDescent="0.25">
      <c r="A23" s="16" t="s">
        <v>106</v>
      </c>
      <c r="B23" s="14" t="s">
        <v>68</v>
      </c>
      <c r="C23" s="14" t="s">
        <v>69</v>
      </c>
      <c r="D23" s="14">
        <v>80</v>
      </c>
      <c r="E23" s="14">
        <v>20</v>
      </c>
      <c r="F23" s="15" t="s">
        <v>33</v>
      </c>
      <c r="G23" s="23">
        <f t="shared" si="2"/>
        <v>36534</v>
      </c>
      <c r="H23" s="24" t="s">
        <v>128</v>
      </c>
      <c r="I23" s="25" t="str">
        <v>Microwave</v>
      </c>
      <c r="J23" s="25" t="str">
        <f t="shared" si="0"/>
        <v>Panasonic Microwave</v>
      </c>
      <c r="K23" s="26">
        <f>IF(ISBLANK(D23),MEDIAN(Table2[Price ($)]),D23)</f>
        <v>80</v>
      </c>
      <c r="L23" s="25" t="str">
        <f t="shared" si="1"/>
        <v>Kitchen</v>
      </c>
    </row>
    <row r="24" spans="1:12" ht="15.6" customHeight="1" x14ac:dyDescent="0.25">
      <c r="A24" s="16" t="s">
        <v>107</v>
      </c>
      <c r="B24" s="12" t="s">
        <v>70</v>
      </c>
      <c r="C24" s="12" t="s">
        <v>71</v>
      </c>
      <c r="D24" s="12">
        <v>150</v>
      </c>
      <c r="E24" s="12">
        <v>30</v>
      </c>
      <c r="F24" s="13"/>
      <c r="G24" s="23">
        <f t="shared" si="2"/>
        <v>36726</v>
      </c>
      <c r="H24" s="24" t="s">
        <v>133</v>
      </c>
      <c r="I24" s="25" t="str">
        <v>Fitness Tracker</v>
      </c>
      <c r="J24" s="25" t="str">
        <f t="shared" si="0"/>
        <v>Xiaomi Fitness Tracker</v>
      </c>
      <c r="K24" s="26">
        <f>IF(ISBLANK(D24),MEDIAN(Table2[Price ($)]),D24)</f>
        <v>150</v>
      </c>
      <c r="L24" s="25" t="str">
        <f t="shared" si="1"/>
        <v>Unknown</v>
      </c>
    </row>
    <row r="25" spans="1:12" ht="15.6" customHeight="1" x14ac:dyDescent="0.25">
      <c r="A25" s="16" t="s">
        <v>108</v>
      </c>
      <c r="B25" s="12" t="s">
        <v>72</v>
      </c>
      <c r="C25" s="12" t="s">
        <v>73</v>
      </c>
      <c r="D25" s="12">
        <v>800</v>
      </c>
      <c r="E25" s="12">
        <v>45</v>
      </c>
      <c r="F25" s="13" t="s">
        <v>27</v>
      </c>
      <c r="G25" s="23">
        <f t="shared" si="2"/>
        <v>36798</v>
      </c>
      <c r="H25" s="24" t="s">
        <v>128</v>
      </c>
      <c r="I25" s="25" t="str">
        <v>Smartphone</v>
      </c>
      <c r="J25" s="25" t="str">
        <f t="shared" si="0"/>
        <v>Google Smartphone</v>
      </c>
      <c r="K25" s="26">
        <f>IF(ISBLANK(D25),MEDIAN(Table2[Price ($)]),D25)</f>
        <v>800</v>
      </c>
      <c r="L25" s="25" t="str">
        <f t="shared" si="1"/>
        <v>Electronics</v>
      </c>
    </row>
    <row r="26" spans="1:12" ht="15.6" customHeight="1" x14ac:dyDescent="0.25">
      <c r="A26" s="16" t="s">
        <v>109</v>
      </c>
      <c r="B26" s="14" t="s">
        <v>62</v>
      </c>
      <c r="C26" s="14" t="s">
        <v>74</v>
      </c>
      <c r="D26" s="14"/>
      <c r="E26" s="14">
        <v>25</v>
      </c>
      <c r="F26" s="15" t="s">
        <v>30</v>
      </c>
      <c r="G26" s="23">
        <f t="shared" si="2"/>
        <v>36680</v>
      </c>
      <c r="H26" s="24" t="s">
        <v>128</v>
      </c>
      <c r="I26" s="25" t="str">
        <v>Sunglasses</v>
      </c>
      <c r="J26" s="25" t="str">
        <f t="shared" si="0"/>
        <v>Ray-Ban Sunglasses</v>
      </c>
      <c r="K26" s="26">
        <f>IF(ISBLANK(D26),MEDIAN(Table2[Price ($)]),D26)</f>
        <v>130</v>
      </c>
      <c r="L26" s="25" t="str">
        <f t="shared" si="1"/>
        <v>Fashion</v>
      </c>
    </row>
    <row r="27" spans="1:12" ht="15.6" customHeight="1" x14ac:dyDescent="0.25">
      <c r="A27" s="16" t="s">
        <v>110</v>
      </c>
      <c r="B27" s="12" t="s">
        <v>43</v>
      </c>
      <c r="C27" s="12" t="s">
        <v>75</v>
      </c>
      <c r="D27" s="12">
        <v>400</v>
      </c>
      <c r="E27" s="12">
        <v>40</v>
      </c>
      <c r="F27" s="13" t="s">
        <v>33</v>
      </c>
      <c r="G27" s="23">
        <f t="shared" si="2"/>
        <v>36718</v>
      </c>
      <c r="H27" s="24" t="s">
        <v>128</v>
      </c>
      <c r="I27" s="25" t="str">
        <v>Blender</v>
      </c>
      <c r="J27" s="25" t="str">
        <f t="shared" si="0"/>
        <v>Vitamix Blender</v>
      </c>
      <c r="K27" s="26">
        <f>IF(ISBLANK(D27),MEDIAN(Table2[Price ($)]),D27)</f>
        <v>400</v>
      </c>
      <c r="L27" s="25" t="str">
        <f t="shared" si="1"/>
        <v>Kitchen</v>
      </c>
    </row>
    <row r="28" spans="1:12" ht="15.6" customHeight="1" x14ac:dyDescent="0.25">
      <c r="A28" s="16" t="s">
        <v>111</v>
      </c>
      <c r="B28" s="12" t="s">
        <v>76</v>
      </c>
      <c r="C28" s="12" t="s">
        <v>77</v>
      </c>
      <c r="D28" s="12">
        <v>60</v>
      </c>
      <c r="E28" s="12">
        <v>30</v>
      </c>
      <c r="F28" s="13" t="s">
        <v>30</v>
      </c>
      <c r="G28" s="23">
        <f t="shared" si="2"/>
        <v>36592</v>
      </c>
      <c r="H28" s="24" t="s">
        <v>128</v>
      </c>
      <c r="I28" s="25" t="str">
        <v>Dress</v>
      </c>
      <c r="J28" s="25" t="str">
        <f t="shared" si="0"/>
        <v>Zara Dress</v>
      </c>
      <c r="K28" s="26">
        <f>IF(ISBLANK(D28),MEDIAN(Table2[Price ($)]),D28)</f>
        <v>60</v>
      </c>
      <c r="L28" s="25" t="str">
        <f t="shared" si="1"/>
        <v>Fashion</v>
      </c>
    </row>
    <row r="29" spans="1:12" ht="15.6" customHeight="1" x14ac:dyDescent="0.25">
      <c r="A29" s="16" t="s">
        <v>112</v>
      </c>
      <c r="B29" s="14" t="s">
        <v>78</v>
      </c>
      <c r="C29" s="14" t="s">
        <v>79</v>
      </c>
      <c r="D29" s="14">
        <v>40</v>
      </c>
      <c r="E29" s="14">
        <v>10</v>
      </c>
      <c r="F29" s="15" t="s">
        <v>33</v>
      </c>
      <c r="G29" s="23">
        <f t="shared" si="2"/>
        <v>36629</v>
      </c>
      <c r="H29" s="24" t="s">
        <v>128</v>
      </c>
      <c r="I29" s="25" t="str">
        <v>Toaster</v>
      </c>
      <c r="J29" s="25" t="str">
        <f t="shared" si="0"/>
        <v>Hamilton Toaster</v>
      </c>
      <c r="K29" s="26">
        <f>IF(ISBLANK(D29),MEDIAN(Table2[Price ($)]),D29)</f>
        <v>40</v>
      </c>
      <c r="L29" s="25" t="str">
        <f t="shared" si="1"/>
        <v>Kitchen</v>
      </c>
    </row>
    <row r="30" spans="1:12" ht="15.6" customHeight="1" x14ac:dyDescent="0.25">
      <c r="A30" s="16" t="s">
        <v>113</v>
      </c>
      <c r="B30" s="12" t="s">
        <v>70</v>
      </c>
      <c r="C30" s="12" t="s">
        <v>80</v>
      </c>
      <c r="D30" s="12">
        <v>130</v>
      </c>
      <c r="E30" s="12">
        <v>5</v>
      </c>
      <c r="F30" s="13" t="s">
        <v>27</v>
      </c>
      <c r="G30" s="23">
        <f t="shared" si="2"/>
        <v>36670</v>
      </c>
      <c r="H30" s="24" t="s">
        <v>128</v>
      </c>
      <c r="I30" s="25" t="str">
        <v>Fitness Tracker</v>
      </c>
      <c r="J30" s="25" t="str">
        <f t="shared" si="0"/>
        <v>Garmin Fitness Tracker</v>
      </c>
      <c r="K30" s="26">
        <f>IF(ISBLANK(D30),MEDIAN(Table2[Price ($)]),D30)</f>
        <v>130</v>
      </c>
      <c r="L30" s="25" t="str">
        <f t="shared" si="1"/>
        <v>Electronics</v>
      </c>
    </row>
    <row r="31" spans="1:12" ht="15.6" customHeight="1" x14ac:dyDescent="0.25">
      <c r="A31" s="16" t="s">
        <v>114</v>
      </c>
      <c r="B31" s="14" t="s">
        <v>81</v>
      </c>
      <c r="C31" s="14" t="s">
        <v>82</v>
      </c>
      <c r="D31" s="14">
        <v>50</v>
      </c>
      <c r="E31" s="14">
        <v>50</v>
      </c>
      <c r="F31" s="15" t="s">
        <v>30</v>
      </c>
      <c r="G31" s="23">
        <f t="shared" si="2"/>
        <v>36862</v>
      </c>
      <c r="H31" s="24" t="s">
        <v>128</v>
      </c>
      <c r="I31" s="25" t="str">
        <v>Jeans</v>
      </c>
      <c r="J31" s="25" t="str">
        <f t="shared" si="0"/>
        <v>Levi's Jeans</v>
      </c>
      <c r="K31" s="26">
        <f>IF(ISBLANK(D31),MEDIAN(Table2[Price ($)]),D31)</f>
        <v>50</v>
      </c>
      <c r="L31" s="25" t="str">
        <f t="shared" si="1"/>
        <v>Fashion</v>
      </c>
    </row>
    <row r="32" spans="1:12" ht="15.6" customHeight="1" x14ac:dyDescent="0.25">
      <c r="A32" s="16" t="s">
        <v>115</v>
      </c>
      <c r="B32" s="14" t="s">
        <v>83</v>
      </c>
      <c r="C32" s="14" t="s">
        <v>84</v>
      </c>
      <c r="D32" s="14">
        <v>100</v>
      </c>
      <c r="E32" s="14">
        <v>20</v>
      </c>
      <c r="F32" s="15" t="s">
        <v>59</v>
      </c>
      <c r="G32" s="23">
        <f t="shared" si="2"/>
        <v>36716</v>
      </c>
      <c r="H32" s="24" t="s">
        <v>134</v>
      </c>
      <c r="I32" s="25" t="str">
        <v>Watch</v>
      </c>
      <c r="J32" s="25" t="str">
        <f t="shared" si="0"/>
        <v>Casio Watch</v>
      </c>
      <c r="K32" s="26">
        <f>IF(ISBLANK(D32),MEDIAN(Table2[Price ($)]),D32)</f>
        <v>100</v>
      </c>
      <c r="L32" s="25" t="str">
        <f t="shared" si="1"/>
        <v>Accessories</v>
      </c>
    </row>
    <row r="33" spans="11:12" ht="15.6" customHeight="1" x14ac:dyDescent="0.25">
      <c r="K33" s="19"/>
      <c r="L33" s="17"/>
    </row>
    <row r="34" spans="11:12" ht="15.6" customHeight="1" x14ac:dyDescent="0.25">
      <c r="K34" s="19"/>
      <c r="L34" s="17"/>
    </row>
    <row r="35" spans="11:12" ht="15.6" customHeight="1" x14ac:dyDescent="0.25">
      <c r="K35" s="19"/>
      <c r="L35" s="17"/>
    </row>
  </sheetData>
  <autoFilter ref="K1:L35" xr:uid="{D45256A3-9482-4979-9E30-6590CDC9834C}"/>
  <phoneticPr fontId="8" type="noConversion"/>
  <conditionalFormatting sqref="K1:K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{1B74F740-6153-4B73-A49D-662C19C0B933}</x14:id>
        </ext>
      </extLst>
    </cfRule>
  </conditionalFormatting>
  <conditionalFormatting sqref="L1:L1048576">
    <cfRule type="containsText" dxfId="0" priority="1" operator="containsText" text="Electronics">
      <formula>NOT(ISERROR(SEARCH("Electronics",L1)))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74F740-6153-4B73-A49D-662C19C0B9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ANOOJ KRISHNAN</cp:lastModifiedBy>
  <dcterms:modified xsi:type="dcterms:W3CDTF">2026-09-23T07:00:54Z</dcterms:modified>
</cp:coreProperties>
</file>